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 General" sheetId="1" state="visible" r:id="rId3"/>
    <sheet name="Estado de Resultad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<sst xmlns="http://schemas.openxmlformats.org/spreadsheetml/2006/main" count="57" uniqueCount="51">
  <si>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EMPRESA DEMO S.A.S.</t>
  </si>
  <si>
    <t xml:space="preserve">Balance General (Estado de Situación Financiera)</t>
  </si>
  <si>
    <t xml:space="preserve">Cifras en pesos colombianos (COP) — Archivo de EJEMPLO para pruebas</t>
  </si>
  <si>
    <t xml:space="preserve">Cuenta</t>
  </si>
  <si>
    <t xml:space="preserve">Periodo Actual (2025)</t>
  </si>
  <si>
    <t xml:space="preserve">Periodo Anterior (2024)</t>
  </si>
  <si>
    <t xml:space="preserve">ACTIVO</t>
  </si>
  <si>
    <t xml:space="preserve">Activo Corriente</t>
  </si>
  <si>
    <t xml:space="preserve">Efectivo y equivalentes</t>
  </si>
  <si>
    <t xml:space="preserve">Cuentas por cobrar clientes</t>
  </si>
  <si>
    <t xml:space="preserve">Inventarios</t>
  </si>
  <si>
    <t xml:space="preserve">Gastos pagados por anticipado</t>
  </si>
  <si>
    <t xml:space="preserve">Total Activo Corriente</t>
  </si>
  <si>
    <t xml:space="preserve">Activo No Corriente</t>
  </si>
  <si>
    <t xml:space="preserve">Propiedad, planta y equipo</t>
  </si>
  <si>
    <t xml:space="preserve">Depreciación acumulada</t>
  </si>
  <si>
    <t xml:space="preserve">Intangibles</t>
  </si>
  <si>
    <t xml:space="preserve">Inversiones a largo plazo</t>
  </si>
  <si>
    <t xml:space="preserve">Total Activo No Corriente</t>
  </si>
  <si>
    <t xml:space="preserve">TOTAL ACTIVO</t>
  </si>
  <si>
    <t xml:space="preserve">PASIVO</t>
  </si>
  <si>
    <t xml:space="preserve">Pasivo Corriente</t>
  </si>
  <si>
    <t xml:space="preserve">Proveedores por pagar</t>
  </si>
  <si>
    <t xml:space="preserve">Obligaciones financieras corto plazo</t>
  </si>
  <si>
    <t xml:space="preserve">Impuestos por pagar</t>
  </si>
  <si>
    <t xml:space="preserve">Obligaciones laborales</t>
  </si>
  <si>
    <t xml:space="preserve">Total Pasivo Corriente</t>
  </si>
  <si>
    <t xml:space="preserve">Pasivo No Corriente</t>
  </si>
  <si>
    <t xml:space="preserve">Obligaciones financieras largo plazo</t>
  </si>
  <si>
    <t xml:space="preserve">Total Pasivo No Corriente</t>
  </si>
  <si>
    <t xml:space="preserve">TOTAL PASIVO</t>
  </si>
  <si>
    <t xml:space="preserve">PATRIMONIO</t>
  </si>
  <si>
    <t xml:space="preserve">Capital social</t>
  </si>
  <si>
    <t xml:space="preserve">Reservas</t>
  </si>
  <si>
    <t xml:space="preserve">Utilidades acumuladas</t>
  </si>
  <si>
    <t xml:space="preserve">Utilidad del ejercicio</t>
  </si>
  <si>
    <t xml:space="preserve">TOTAL PATRIMONIO</t>
  </si>
  <si>
    <t xml:space="preserve">TOTAL PASIVO + PATRIMONIO</t>
  </si>
  <si>
    <t xml:space="preserve">Nota: archivo de ejemplo generado para pruebas de carga en Datanalytic. Cifras ficticias.</t>
  </si>
  <si>
    <t xml:space="preserve">Estado de Resultados (P&amp;G)</t>
  </si>
  <si>
    <t xml:space="preserve">Ventas netas</t>
  </si>
  <si>
    <t xml:space="preserve">Costo de ventas</t>
  </si>
  <si>
    <t xml:space="preserve">Utilidad Bruta</t>
  </si>
  <si>
    <t xml:space="preserve">Gastos de administración</t>
  </si>
  <si>
    <t xml:space="preserve">Gastos de ventas</t>
  </si>
  <si>
    <t xml:space="preserve">Utilidad Operacional (EBIT)</t>
  </si>
  <si>
    <t xml:space="preserve">Gastos financieros</t>
  </si>
  <si>
    <t xml:space="preserve">Ingresos no operacionales</t>
  </si>
  <si>
    <t xml:space="preserve">Utilidad Antes de Impuestos</t>
  </si>
  <si>
    <t xml:space="preserve">Impuesto de renta (35%)</t>
  </si>
  <si>
    <t xml:space="preserve">UTILIDAD NETA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</si>
</sst>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/>
      <c r="C6" s="6"/>
    </row>
    <row r="7" customFormat="false" ht="15" hidden="false" customHeight="false" outlineLevel="0" collapsed="false">
      <c r="A7" s="7" t="s">
        <v>7</v>
      </c>
    </row>
    <row r="8" customFormat="false" ht="15" hidden="false" customHeight="false" outlineLevel="0" collapsed="false">
      <c r="A8" s="8" t="s">
        <v>8</v>
      </c>
      <c r="B8" s="9" t="n">
        <v>85000000</v>
      </c>
      <c r="C8" s="9" t="n">
        <v>62000000</v>
      </c>
    </row>
    <row r="9" customFormat="false" ht="15" hidden="false" customHeight="false" outlineLevel="0" collapsed="false">
      <c r="A9" s="8" t="s">
        <v>9</v>
      </c>
      <c r="B9" s="9" t="n">
        <v>120000000</v>
      </c>
      <c r="C9" s="9" t="n">
        <v>98000000</v>
      </c>
    </row>
    <row r="10" customFormat="false" ht="15" hidden="false" customHeight="false" outlineLevel="0" collapsed="false">
      <c r="A10" s="8" t="s">
        <v>10</v>
      </c>
      <c r="B10" s="9" t="n">
        <v>95000000</v>
      </c>
      <c r="C10" s="9" t="n">
        <v>110000000</v>
      </c>
    </row>
    <row r="11" customFormat="false" ht="15" hidden="false" customHeight="false" outlineLevel="0" collapsed="false">
      <c r="A11" s="8" t="s">
        <v>11</v>
      </c>
      <c r="B11" s="9" t="n">
        <v>8000000</v>
      </c>
      <c r="C11" s="9" t="n">
        <v>6500000</v>
      </c>
    </row>
    <row r="12" customFormat="false" ht="15" hidden="false" customHeight="false" outlineLevel="0" collapsed="false">
      <c r="A12" s="10" t="s">
        <v>12</v>
      </c>
      <c r="B12" s="11" t="n">
        <f aca="false">SUM(B8:B11)</f>
        <v>308000000</v>
      </c>
      <c r="C12" s="11" t="n">
        <f aca="false">SUM(C8:C11)</f>
        <v>276500000</v>
      </c>
    </row>
    <row r="13" customFormat="false" ht="15" hidden="false" customHeight="false" outlineLevel="0" collapsed="false">
      <c r="A13" s="7" t="s">
        <v>13</v>
      </c>
    </row>
    <row r="14" customFormat="false" ht="15" hidden="false" customHeight="false" outlineLevel="0" collapsed="false">
      <c r="A14" s="8" t="s">
        <v>14</v>
      </c>
      <c r="B14" s="9" t="n">
        <v>210000000</v>
      </c>
      <c r="C14" s="9" t="n">
        <v>195000000</v>
      </c>
    </row>
    <row r="15" customFormat="false" ht="15" hidden="false" customHeight="false" outlineLevel="0" collapsed="false">
      <c r="A15" s="8" t="s">
        <v>15</v>
      </c>
      <c r="B15" s="9" t="n">
        <v>-45000000</v>
      </c>
      <c r="C15" s="9" t="n">
        <v>-35000000</v>
      </c>
    </row>
    <row r="16" customFormat="false" ht="15" hidden="false" customHeight="false" outlineLevel="0" collapsed="false">
      <c r="A16" s="8" t="s">
        <v>16</v>
      </c>
      <c r="B16" s="9" t="n">
        <v>15000000</v>
      </c>
      <c r="C16" s="9" t="n">
        <v>15000000</v>
      </c>
    </row>
    <row r="17" customFormat="false" ht="15" hidden="false" customHeight="false" outlineLevel="0" collapsed="false">
      <c r="A17" s="8" t="s">
        <v>17</v>
      </c>
      <c r="B17" s="9" t="n">
        <v>30000000</v>
      </c>
      <c r="C17" s="9" t="n">
        <v>30000000</v>
      </c>
    </row>
    <row r="18" customFormat="false" ht="15" hidden="false" customHeight="false" outlineLevel="0" collapsed="false">
      <c r="A18" s="10" t="s">
        <v>18</v>
      </c>
      <c r="B18" s="11" t="n">
        <f aca="false">SUM(B14:B17)</f>
        <v>210000000</v>
      </c>
      <c r="C18" s="11" t="n">
        <f aca="false">SUM(C14:C17)</f>
        <v>205000000</v>
      </c>
    </row>
    <row r="19" customFormat="false" ht="15" hidden="false" customHeight="false" outlineLevel="0" collapsed="false">
      <c r="A19" s="5" t="s">
        <v>19</v>
      </c>
      <c r="B19" s="12" t="n">
        <f aca="false">B12+B18</f>
        <v>518000000</v>
      </c>
      <c r="C19" s="12" t="n">
        <f aca="false">C12+C18</f>
        <v>481500000</v>
      </c>
    </row>
    <row r="21" customFormat="false" ht="15" hidden="false" customHeight="false" outlineLevel="0" collapsed="false">
      <c r="A21" s="5" t="s">
        <v>20</v>
      </c>
      <c r="B21" s="6"/>
      <c r="C21" s="6"/>
    </row>
    <row r="22" customFormat="false" ht="15" hidden="false" customHeight="false" outlineLevel="0" collapsed="false">
      <c r="A22" s="7" t="s">
        <v>21</v>
      </c>
    </row>
    <row r="23" customFormat="false" ht="15" hidden="false" customHeight="false" outlineLevel="0" collapsed="false">
      <c r="A23" s="8" t="s">
        <v>22</v>
      </c>
      <c r="B23" s="9" t="n">
        <v>70000000</v>
      </c>
      <c r="C23" s="9" t="n">
        <v>65000000</v>
      </c>
    </row>
    <row r="24" customFormat="false" ht="15" hidden="false" customHeight="false" outlineLevel="0" collapsed="false">
      <c r="A24" s="8" t="s">
        <v>23</v>
      </c>
      <c r="B24" s="9" t="n">
        <v>40000000</v>
      </c>
      <c r="C24" s="9" t="n">
        <v>55000000</v>
      </c>
    </row>
    <row r="25" customFormat="false" ht="15" hidden="false" customHeight="false" outlineLevel="0" collapsed="false">
      <c r="A25" s="8" t="s">
        <v>24</v>
      </c>
      <c r="B25" s="9" t="n">
        <v>18000000</v>
      </c>
      <c r="C25" s="9" t="n">
        <v>14000000</v>
      </c>
    </row>
    <row r="26" customFormat="false" ht="15" hidden="false" customHeight="false" outlineLevel="0" collapsed="false">
      <c r="A26" s="8" t="s">
        <v>25</v>
      </c>
      <c r="B26" s="9" t="n">
        <v>12000000</v>
      </c>
      <c r="C26" s="9" t="n">
        <v>10000000</v>
      </c>
    </row>
    <row r="27" customFormat="false" ht="15" hidden="false" customHeight="false" outlineLevel="0" collapsed="false">
      <c r="A27" s="10" t="s">
        <v>26</v>
      </c>
      <c r="B27" s="11" t="n">
        <f aca="false">SUM(B23:B26)</f>
        <v>140000000</v>
      </c>
      <c r="C27" s="11" t="n">
        <f aca="false">SUM(C23:C26)</f>
        <v>144000000</v>
      </c>
    </row>
    <row r="28" customFormat="false" ht="1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8" t="s">
        <v>28</v>
      </c>
      <c r="B29" s="9" t="n">
        <v>85000000</v>
      </c>
      <c r="C29" s="9" t="n">
        <v>95000000</v>
      </c>
    </row>
    <row r="30" customFormat="false" ht="15" hidden="false" customHeight="false" outlineLevel="0" collapsed="false">
      <c r="A30" s="10" t="s">
        <v>29</v>
      </c>
      <c r="B30" s="11" t="n">
        <f aca="false">SUM(B29:B29)</f>
        <v>85000000</v>
      </c>
      <c r="C30" s="11" t="n">
        <f aca="false">SUM(C29:C29)</f>
        <v>95000000</v>
      </c>
    </row>
    <row r="31" customFormat="false" ht="15" hidden="false" customHeight="false" outlineLevel="0" collapsed="false">
      <c r="A31" s="5" t="s">
        <v>30</v>
      </c>
      <c r="B31" s="12" t="n">
        <f aca="false">B27+B30</f>
        <v>225000000</v>
      </c>
      <c r="C31" s="12" t="n">
        <f aca="false">C27+C30</f>
        <v>239000000</v>
      </c>
    </row>
    <row r="33" customFormat="false" ht="15" hidden="false" customHeight="false" outlineLevel="0" collapsed="false">
      <c r="A33" s="5" t="s">
        <v>31</v>
      </c>
      <c r="B33" s="6"/>
      <c r="C33" s="6"/>
    </row>
    <row r="34" customFormat="false" ht="15" hidden="false" customHeight="false" outlineLevel="0" collapsed="false">
      <c r="A34" s="8" t="s">
        <v>32</v>
      </c>
      <c r="B34" s="9" t="n">
        <v>100000000</v>
      </c>
      <c r="C34" s="9" t="n">
        <v>100000000</v>
      </c>
    </row>
    <row r="35" customFormat="false" ht="15" hidden="false" customHeight="false" outlineLevel="0" collapsed="false">
      <c r="A35" s="8" t="s">
        <v>33</v>
      </c>
      <c r="B35" s="9" t="n">
        <v>25000000</v>
      </c>
      <c r="C35" s="9" t="n">
        <v>18000000</v>
      </c>
    </row>
    <row r="36" customFormat="false" ht="15" hidden="false" customHeight="false" outlineLevel="0" collapsed="false">
      <c r="A36" s="8" t="s">
        <v>34</v>
      </c>
      <c r="B36" s="9" t="n">
        <v>40000000</v>
      </c>
      <c r="C36" s="9" t="n">
        <v>28000000</v>
      </c>
    </row>
    <row r="37" customFormat="false" ht="15" hidden="false" customHeight="false" outlineLevel="0" collapsed="false">
      <c r="A37" s="8" t="s">
        <v>35</v>
      </c>
      <c r="B37" s="9" t="n">
        <f aca="false">B19-B31-SUM(B34:B36)</f>
        <v>128000000</v>
      </c>
      <c r="C37" s="9" t="n">
        <f aca="false">C19-C31-SUM(C34:C36)</f>
        <v>96500000</v>
      </c>
    </row>
    <row r="38" customFormat="false" ht="15" hidden="false" customHeight="false" outlineLevel="0" collapsed="false">
      <c r="A38" s="5" t="s">
        <v>36</v>
      </c>
      <c r="B38" s="12" t="n">
        <f aca="false">SUM(B34:B37)</f>
        <v>293000000</v>
      </c>
      <c r="C38" s="12" t="n">
        <f aca="false">SUM(C34:C37)</f>
        <v>242500000</v>
      </c>
    </row>
    <row r="40" customFormat="false" ht="15" hidden="false" customHeight="false" outlineLevel="0" collapsed="false">
      <c r="A40" s="13" t="s">
        <v>37</v>
      </c>
      <c r="B40" s="14" t="n">
        <f aca="false">B31+B38</f>
        <v>518000000</v>
      </c>
      <c r="C40" s="14" t="n">
        <f aca="false">C31+C38</f>
        <v>481500000</v>
      </c>
    </row>
    <row r="42" customFormat="false" ht="15" hidden="false" customHeight="false" outlineLevel="0" collapsed="false">
      <c r="A42" s="1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39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8" t="s">
        <v>40</v>
      </c>
      <c r="B6" s="9" t="n">
        <v>680000000</v>
      </c>
      <c r="C6" s="9" t="n">
        <v>590000000</v>
      </c>
    </row>
    <row r="7" customFormat="false" ht="15" hidden="false" customHeight="false" outlineLevel="0" collapsed="false">
      <c r="A7" s="8" t="s">
        <v>41</v>
      </c>
      <c r="B7" s="9" t="n">
        <v>-410000000</v>
      </c>
      <c r="C7" s="9" t="n">
        <v>-365000000</v>
      </c>
    </row>
    <row r="9" customFormat="false" ht="15" hidden="false" customHeight="false" outlineLevel="0" collapsed="false">
      <c r="A9" s="10" t="s">
        <v>42</v>
      </c>
      <c r="B9" s="11" t="n">
        <f aca="false">B6+B7</f>
        <v>270000000</v>
      </c>
      <c r="C9" s="11" t="n">
        <f aca="false">C6+C7</f>
        <v>225000000</v>
      </c>
    </row>
    <row r="11" customFormat="false" ht="15" hidden="false" customHeight="false" outlineLevel="0" collapsed="false">
      <c r="A11" s="8" t="s">
        <v>43</v>
      </c>
      <c r="B11" s="9" t="n">
        <v>-75000000</v>
      </c>
      <c r="C11" s="9" t="n">
        <v>-68000000</v>
      </c>
    </row>
    <row r="12" customFormat="false" ht="15" hidden="false" customHeight="false" outlineLevel="0" collapsed="false">
      <c r="A12" s="8" t="s">
        <v>44</v>
      </c>
      <c r="B12" s="9" t="n">
        <v>-95000000</v>
      </c>
      <c r="C12" s="9" t="n">
        <v>-82000000</v>
      </c>
    </row>
    <row r="14" customFormat="false" ht="15" hidden="false" customHeight="false" outlineLevel="0" collapsed="false">
      <c r="A14" s="10" t="s">
        <v>45</v>
      </c>
      <c r="B14" s="11" t="n">
        <f aca="false">B9+B11+B12</f>
        <v>100000000</v>
      </c>
      <c r="C14" s="11" t="n">
        <f aca="false">C9+C11+C12</f>
        <v>75000000</v>
      </c>
    </row>
    <row r="16" customFormat="false" ht="15" hidden="false" customHeight="false" outlineLevel="0" collapsed="false">
      <c r="A16" s="8" t="s">
        <v>46</v>
      </c>
      <c r="B16" s="9" t="n">
        <v>-22000000</v>
      </c>
      <c r="C16" s="9" t="n">
        <v>-25000000</v>
      </c>
    </row>
    <row r="17" customFormat="false" ht="15" hidden="false" customHeight="false" outlineLevel="0" collapsed="false">
      <c r="A17" s="8" t="s">
        <v>47</v>
      </c>
      <c r="B17" s="9" t="n">
        <v>5000000</v>
      </c>
      <c r="C17" s="9" t="n">
        <v>3000000</v>
      </c>
    </row>
    <row r="19" customFormat="false" ht="15" hidden="false" customHeight="false" outlineLevel="0" collapsed="false">
      <c r="A19" s="10" t="s">
        <v>48</v>
      </c>
      <c r="B19" s="11" t="n">
        <f aca="false">B14+B16+B17</f>
        <v>83000000</v>
      </c>
      <c r="C19" s="11" t="n">
        <f aca="false">C14+C16+C17</f>
        <v>53000000</v>
      </c>
    </row>
    <row r="21" customFormat="false" ht="15" hidden="false" customHeight="false" outlineLevel="0" collapsed="false">
      <c r="A21" s="8" t="s">
        <v>49</v>
      </c>
      <c r="B21" s="9" t="n">
        <f aca="false">-B19*0.35</f>
        <v>-29050000</v>
      </c>
      <c r="C21" s="9" t="n">
        <f aca="false">-C19*0.35</f>
        <v>-18550000</v>
      </c>
    </row>
    <row r="23" customFormat="false" ht="15" hidden="false" customHeight="false" outlineLevel="0" collapsed="false">
      <c r="A23" s="13" t="s">
        <v>50</v>
      </c>
      <c r="B23" s="14" t="n">
        <f aca="false">B19+B21</f>
        <v>53950000</v>
      </c>
      <c r="C23" s="14" t="n">
        <f aca="false">C19+C21</f>
        <v>34450000</v>
      </c>
    </row>
    <row r="25" customFormat="false" ht="15" hidden="false" customHeight="false" outlineLevel="0" collapsed="false">
      <c r="A25" s="15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2026-08-31T15:10:58Z</dcterms:created>
  <dc:creator>openpyxl</dc:creator>
  <dc:description/>
  <dc:language>en-US</dc:language>
  <cp:lastModifiedBy/>
  <dcterms:modified xsi:type="dcterms:W3CDTF">2026-08-31T15:10:58Z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